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pping list" sheetId="1" state="visible" r:id="rId3"/>
    <sheet name="Considered - not bough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<sst xmlns="http://schemas.openxmlformats.org/spreadsheetml/2006/main" count="309" uniqueCount="196">
  <si>
    <t xml:space="preserve">BudgetODMR - NV magnetometer upgrade, procurement plan</t>
  </si>
  <si>
    <t xml:space="preserve">All prices EUR, EXCLUDING VAT (21 % ES), as displayed by the vendor on 10 Sep 2026. Blue = price taken from our own earlier quote or an estimate; black = verified on the linked vendor page.</t>
  </si>
  <si>
    <t xml:space="preserve">Tier</t>
  </si>
  <si>
    <t xml:space="preserve">Group</t>
  </si>
  <si>
    <t xml:space="preserve">Item</t>
  </si>
  <si>
    <t xml:space="preserve">Part no.</t>
  </si>
  <si>
    <t xml:space="preserve">Supplier</t>
  </si>
  <si>
    <t xml:space="preserve">Qty</t>
  </si>
  <si>
    <t xml:space="preserve">Unit price (EUR, ex-VAT)</t>
  </si>
  <si>
    <t xml:space="preserve">Line total (EUR)</t>
  </si>
  <si>
    <t xml:space="preserve">URL</t>
  </si>
  <si>
    <t xml:space="preserve">Purpose / justification</t>
  </si>
  <si>
    <t xml:space="preserve">1. Fluorescence collection &amp; detection</t>
  </si>
  <si>
    <t xml:space="preserve">A - core (3 k tranche)</t>
  </si>
  <si>
    <t xml:space="preserve">Si switchable-gain photodetector, 75.4 mm² active area</t>
  </si>
  <si>
    <t xml:space="preserve">PDA100A2</t>
  </si>
  <si>
    <t xml:space="preserve">Thorlabs</t>
  </si>
  <si>
    <t xml:space="preserve">https://www.thorlabs.com/thorproduct.cfm?partnumber=PDA100A2</t>
  </si>
  <si>
    <t xml:space="preserve">Dedicated high-collection ensemble channel: 94x larger area than the PDA10A2 and 8 selectable gains, so bandwidth we do not need is traded for transimpedance we do. Directly attacks the 0.1 mV lock-in signal.</t>
  </si>
  <si>
    <t xml:space="preserve">Aspheric condenser, Ø25 mm, f = 16 mm, NA = 0.79, AR 650-1050 nm</t>
  </si>
  <si>
    <t xml:space="preserve">ACL25416U-B</t>
  </si>
  <si>
    <t xml:space="preserve">https://www.thorlabs.com/thorproduct.cfm?partnumber=ACL25416U-B</t>
  </si>
  <si>
    <t xml:space="preserve">High-NA collection of NV emission close to the diamond, feeding the large-area detector. Far more efficient than re-using the 40x objective for ensemble work.</t>
  </si>
  <si>
    <t xml:space="preserve">SM1 lens tube, 1 in</t>
  </si>
  <si>
    <t xml:space="preserve">SM1L10</t>
  </si>
  <si>
    <t xml:space="preserve">https://www.thorlabs.com/thorproduct.cfm?partnumber=SM1L10</t>
  </si>
  <si>
    <t xml:space="preserve">Builds the condenser + filter + detector head as one light-tight tube.</t>
  </si>
  <si>
    <t xml:space="preserve">Lens mount for Ø1 in optics, M4 tap</t>
  </si>
  <si>
    <t xml:space="preserve">LMR1/M</t>
  </si>
  <si>
    <t xml:space="preserve">https://www.thorlabs.com/thorproduct.cfm?partnumber=LMR1/M</t>
  </si>
  <si>
    <t xml:space="preserve">Mounting for the condenser lenses.</t>
  </si>
  <si>
    <t xml:space="preserve">Ø25 mm longpass filter, 650 nm cut-on</t>
  </si>
  <si>
    <t xml:space="preserve">FELH0650</t>
  </si>
  <si>
    <t xml:space="preserve">https://www.thorlabs.com/thorproduct.cfm?partnumber=FELH0650</t>
  </si>
  <si>
    <t xml:space="preserve">Rejects residual 532 nm and most room light while passing the NV phonon sideband (650-800 nm). Raises contrast by cutting background, not signal.</t>
  </si>
  <si>
    <t xml:space="preserve">2. Stray-light control</t>
  </si>
  <si>
    <t xml:space="preserve">Black hardboard, 610 x 610 mm, 3 sheets per pack</t>
  </si>
  <si>
    <t xml:space="preserve">TB4</t>
  </si>
  <si>
    <t xml:space="preserve">https://www.thorlabs.com/thorproduct.cfm?partnumber=TB4</t>
  </si>
  <si>
    <t xml:space="preserve">Rigid light-tight enclosure around the confocal head - the blocker for any low-light / single-NV work.</t>
  </si>
  <si>
    <t xml:space="preserve">Blackout fabric, 1.5 m x 2.7 m</t>
  </si>
  <si>
    <t xml:space="preserve">BK5</t>
  </si>
  <si>
    <t xml:space="preserve">https://www.thorlabs.com/thorproduct.cfm?partnumber=BK5</t>
  </si>
  <si>
    <t xml:space="preserve">Drapes the enclosure and the table edges.</t>
  </si>
  <si>
    <t xml:space="preserve">Matte black aluminium foil, 305 mm x 15.2 m</t>
  </si>
  <si>
    <t xml:space="preserve">BKF12</t>
  </si>
  <si>
    <t xml:space="preserve">https://www.thorlabs.com/thorproduct.cfm?partnumber=BKF12</t>
  </si>
  <si>
    <t xml:space="preserve">Mouldable foil to seal exactly the failure mode we have: cable holes and small apertures.</t>
  </si>
  <si>
    <t xml:space="preserve">Beam trap, 400 nm - 2.5 µm, 30 W</t>
  </si>
  <si>
    <t xml:space="preserve">BT610/M</t>
  </si>
  <si>
    <t xml:space="preserve">https://www.thorlabs.com/thorproduct.cfm?partnumber=BT610/M</t>
  </si>
  <si>
    <t xml:space="preserve">Terminates the transmitted/reflected green safely instead of scattering it around the enclosure. Laser-safety item as well.</t>
  </si>
  <si>
    <t xml:space="preserve">3. Fibre coupling</t>
  </si>
  <si>
    <t xml:space="preserve">Achromatic FiberPort, FC/PC &amp; FC/APC, f = 7.5 mm, 400-700 nm</t>
  </si>
  <si>
    <t xml:space="preserve">PAF2-A7A</t>
  </si>
  <si>
    <t xml:space="preserve">https://www.thorlabs.com/thorproduct.cfm?partnumber=PAF2-A7A</t>
  </si>
  <si>
    <t xml:space="preserve">Integrated 5-axis fibre launch (x, y, focus + 2 tilts). Our current kinematic-mount approach cannot translate the fibre tip, which is why coupling has never succeeded. NOTE: check the collimated beam diameter first and pick the matching focal length (A4A 0.65 mm / A7A 1.23 mm / A10A / A15A) - all cost the same.</t>
  </si>
  <si>
    <t xml:space="preserve">4. Microwave power characterisation</t>
  </si>
  <si>
    <t xml:space="preserve">Fixed attenuator 30 dB, 20 W, DC-18 GHz, SMA</t>
  </si>
  <si>
    <t xml:space="preserve">BW-S30W20+</t>
  </si>
  <si>
    <t xml:space="preserve">DigiKey ES</t>
  </si>
  <si>
    <t xml:space="preserve">https://www.digikey.es/es/products/detail/mini-circuits/BW-S30W20/16682977</t>
  </si>
  <si>
    <t xml:space="preserve">Lets the 16 W amplifier output be measured safely. Needed to find where the ZHL-16W-43-S+ compresses: with +16 dBm drive it is almost certainly saturated, so 'MW power' set on the SMCV may not be the power at the antenna.</t>
  </si>
  <si>
    <t xml:space="preserve">RF power detector, 10 MHz - 8 GHz, DC log output</t>
  </si>
  <si>
    <t xml:space="preserve">ZX47-40-S+</t>
  </si>
  <si>
    <t xml:space="preserve">https://www.digikey.es/es/products/detail/mini-circuits/ZX47-40-S/21727781</t>
  </si>
  <si>
    <t xml:space="preserve">Calibrated MW power axis for the linewidth-vs-power (Rabi) experiment; DC output readable by the multimeter or the Red Pitaya.</t>
  </si>
  <si>
    <t xml:space="preserve">Absorptive SPDT RF switch, DC-5 GHz, TTL control</t>
  </si>
  <si>
    <t xml:space="preserve">ZASWA-2-50DRA+</t>
  </si>
  <si>
    <t xml:space="preserve">https://www.digikey.es/es/products/result?keywords=ZASWA-2-50DRA%2B</t>
  </si>
  <si>
    <t xml:space="preserve">TTL-gated MW from the Red Pitaya: deep 100% amplitude modulation for lock-in, MW on/off normalisation, and a first step towards pulsed sequences.</t>
  </si>
  <si>
    <t xml:space="preserve">Ultra-flexible SMA cable</t>
  </si>
  <si>
    <t xml:space="preserve">(as quoted)</t>
  </si>
  <si>
    <t xml:space="preserve">Mouser</t>
  </si>
  <si>
    <t xml:space="preserve">https://www.mouser.es/c/?q=ultra%20flexible%20sma%20cable</t>
  </si>
  <si>
    <t xml:space="preserve">Replaces stiff cables that torque the antenna and change coupling between runs. Price from our own earlier quote.</t>
  </si>
  <si>
    <t xml:space="preserve">SMA edge-launch connectors (antenna build)</t>
  </si>
  <si>
    <t xml:space="preserve">https://www.mouser.es/c/connectors/rf-coaxial-connectors/</t>
  </si>
  <si>
    <t xml:space="preserve">For the resonant loop / Omega antenna PCB - stronger B1 is the cheapest route to better ODMR contrast. Price from our own earlier quote.</t>
  </si>
  <si>
    <t xml:space="preserve">5. Temperature &amp; drift</t>
  </si>
  <si>
    <t xml:space="preserve">USB temperature + humidity logger with external probe</t>
  </si>
  <si>
    <t xml:space="preserve">TSP01</t>
  </si>
  <si>
    <t xml:space="preserve">https://www.thorlabs.com/thorproduct.cfm?partnumber=TSP01</t>
  </si>
  <si>
    <t xml:space="preserve">Logs lab temperature alongside every ODMR run so drift in D (-74 kHz/K) can be separated from magnetic drift. Enables the thermometry experiment.</t>
  </si>
  <si>
    <t xml:space="preserve">Flexible polyimide heater with 10 kΩ thermistor</t>
  </si>
  <si>
    <t xml:space="preserve">HT10K</t>
  </si>
  <si>
    <t xml:space="preserve">https://www.thorlabs.com/thorproduct.cfm?partnumber=HT10K</t>
  </si>
  <si>
    <t xml:space="preserve">Deliberately warm the diamond mount to measure dD/dT and calibrate the setup as a thermometer; also quantifies laser-induced heating.</t>
  </si>
  <si>
    <t xml:space="preserve">10 kΩ thermistor (spares / extra sensing points)</t>
  </si>
  <si>
    <t xml:space="preserve">TH10K</t>
  </si>
  <si>
    <t xml:space="preserve">https://www.thorlabs.com/thorproduct.cfm?partnumber=TH10K</t>
  </si>
  <si>
    <t xml:space="preserve">Additional temperature sensing points (antenna, amplifier, diamond mount).</t>
  </si>
  <si>
    <t xml:space="preserve">6. Optics cleaning &amp; consumables</t>
  </si>
  <si>
    <t xml:space="preserve">Lens tissues, 5 booklets</t>
  </si>
  <si>
    <t xml:space="preserve">MC-5</t>
  </si>
  <si>
    <t xml:space="preserve">https://www.thorlabs.com/thorproduct.cfm?partnumber=MC-5</t>
  </si>
  <si>
    <t xml:space="preserve">Standard drag-wipe cleaning of objective, filters and fibre ends.</t>
  </si>
  <si>
    <t xml:space="preserve">Optical-grade cotton-tipped applicators, 100 pack</t>
  </si>
  <si>
    <t xml:space="preserve">CTA10</t>
  </si>
  <si>
    <t xml:space="preserve">https://www.thorlabs.com/thorproduct.cfm?partnumber=CTA10</t>
  </si>
  <si>
    <t xml:space="preserve">Solvent cleaning of connector ferrules and small optics.</t>
  </si>
  <si>
    <t xml:space="preserve">Reagent-grade alcohol</t>
  </si>
  <si>
    <t xml:space="preserve">Amazon</t>
  </si>
  <si>
    <t xml:space="preserve">https://www.amazon.es/s?k=isopropanol+99.9+reagent+grade</t>
  </si>
  <si>
    <t xml:space="preserve">Cleaning solvent. Price from our own earlier quote.</t>
  </si>
  <si>
    <t xml:space="preserve">Deionised water</t>
  </si>
  <si>
    <t xml:space="preserve">https://www.amazon.es/s?k=agua+desionizada</t>
  </si>
  <si>
    <t xml:space="preserve">TIER A SUBTOTAL - core upgrade (3,000 EUR tranche)</t>
  </si>
  <si>
    <t xml:space="preserve">7. Balanced detection (laser-noise cancellation)</t>
  </si>
  <si>
    <t xml:space="preserve">B - extension (2 k tranche)</t>
  </si>
  <si>
    <t xml:space="preserve">Si switchable-gain photodetector (reference channel)</t>
  </si>
  <si>
    <t xml:space="preserve">Second identical detector on a pick-off of the excitation beam. Fed differentially into the MFLI it cancels common-mode laser intensity noise - the term the noise-budget script is most likely to find dominant.</t>
  </si>
  <si>
    <t xml:space="preserve">Ø1 in UVFS wedged beam sampler, AR 350-700 nm</t>
  </si>
  <si>
    <t xml:space="preserve">BSF10-A</t>
  </si>
  <si>
    <t xml:space="preserve">https://www.thorlabs.com/thorproduct.cfm?partnumber=BSF10-A</t>
  </si>
  <si>
    <t xml:space="preserve">Picks off a few % of the green for the reference detector without disturbing the main beam.</t>
  </si>
  <si>
    <t xml:space="preserve">8. Laser power control</t>
  </si>
  <si>
    <t xml:space="preserve">Ø1 in linear polariser, 400-700 nm</t>
  </si>
  <si>
    <t xml:space="preserve">LPVISE100-A</t>
  </si>
  <si>
    <t xml:space="preserve">https://www.thorlabs.com/thorproduct.cfm?partnumber=LPVISE100-A</t>
  </si>
  <si>
    <t xml:space="preserve">With the rotation mount, gives continuous laser power control (Malus law) on the linearly polarised DPSS output - needed to take clean laser-power dependences without changing diode current (which changes noise and mode).</t>
  </si>
  <si>
    <t xml:space="preserve">Rotation mount for Ø1 in optics, M4 tap</t>
  </si>
  <si>
    <t xml:space="preserve">RSP1/M</t>
  </si>
  <si>
    <t xml:space="preserve">https://www.thorlabs.com/thorproduct.cfm?partnumber=RSP1/M</t>
  </si>
  <si>
    <t xml:space="preserve">Rotates the polariser; also serves the half-wave plate later.</t>
  </si>
  <si>
    <t xml:space="preserve">Absorptive ND filter OD 1.0, SM1-mounted</t>
  </si>
  <si>
    <t xml:space="preserve">NE10A</t>
  </si>
  <si>
    <t xml:space="preserve">https://www.thorlabs.com/thorproduct.cfm?partnumber=NE10A</t>
  </si>
  <si>
    <t xml:space="preserve">Coarse, repeatable power steps for power-dependence series.</t>
  </si>
  <si>
    <t xml:space="preserve">Absorptive ND filter OD 2.0, SM1-mounted</t>
  </si>
  <si>
    <t xml:space="preserve">NE20A</t>
  </si>
  <si>
    <t xml:space="preserve">https://www.thorlabs.com/thorproduct.cfm?partnumber=NE20A</t>
  </si>
  <si>
    <t xml:space="preserve">As above, decade step.</t>
  </si>
  <si>
    <t xml:space="preserve">9. Sample &amp; fibre infrastructure</t>
  </si>
  <si>
    <t xml:space="preserve">PM patch cable, PANDA, 488 nm, FC/APC, 2 m</t>
  </si>
  <si>
    <t xml:space="preserve">P3-488PM-FC-2</t>
  </si>
  <si>
    <t xml:space="preserve">https://www.thorlabs.com/thorproduct.cfm?partnumber=P3-488PM-FC-2</t>
  </si>
  <si>
    <t xml:space="preserve">Spare/second fibre better matched to 532 nm than the 405 nm PM cable, and insurance against an end face damaged during coupling attempts. Keep connector types consistent (APC-APC) across the launch.</t>
  </si>
  <si>
    <t xml:space="preserve">30 mm cage cube precision kinematic rotation platform</t>
  </si>
  <si>
    <t xml:space="preserve">B4CRP/M</t>
  </si>
  <si>
    <t xml:space="preserve">https://www.thorlabs.com/thorproduct.cfm?partnumber=B4CRP/M</t>
  </si>
  <si>
    <t xml:space="preserve">Rotates the diamond + antenna assembly reproducibly: NV-orientation studies, vector magnetometry, and repeatable magnet geometry. Already on our wish list.</t>
  </si>
  <si>
    <t xml:space="preserve">SM1 lens tube, 1 in (light shielding spares)</t>
  </si>
  <si>
    <t xml:space="preserve">Extra shielding tubes for the detection path.</t>
  </si>
  <si>
    <t xml:space="preserve">Aspheric condenser (spare / second channel)</t>
  </si>
  <si>
    <t xml:space="preserve">Spare for the balanced/second collection channel.</t>
  </si>
  <si>
    <t xml:space="preserve">10. Field calibration</t>
  </si>
  <si>
    <t xml:space="preserve">Calibration coil build: magnet wire, 3D-printed former, precision sense resistor</t>
  </si>
  <si>
    <t xml:space="preserve">(build)</t>
  </si>
  <si>
    <t xml:space="preserve">RS / Farnell / in-house</t>
  </si>
  <si>
    <t xml:space="preserve">https://es.rs-online.com/web/c/cables-hilos/hilo-electrico/hilo-de-cobre-esmaltado/</t>
  </si>
  <si>
    <t xml:space="preserve">ESTIMATE. A coil of known geometry driven by the KA3010P or the Red Pitaya applies a computable field (N, r, I) so the nT/sqrt(Hz) sensitivity becomes traceable instead of relative, and gives a known AC signal for the WP3 statistics test.</t>
  </si>
  <si>
    <t xml:space="preserve">11. Environment &amp; contingency</t>
  </si>
  <si>
    <t xml:space="preserve">Air purifier (optics dust control)</t>
  </si>
  <si>
    <t xml:space="preserve">https://www.amazon.es/s?k=purificador+de+aire+HEPA</t>
  </si>
  <si>
    <t xml:space="preserve">Reduces dust settling on the diamond, objective and open optics in a shared room. Price from our own earlier quote.</t>
  </si>
  <si>
    <t xml:space="preserve">Cotton applicators + lens tissue (restock)</t>
  </si>
  <si>
    <t xml:space="preserve">CTA10 / MC-5</t>
  </si>
  <si>
    <t xml:space="preserve">Consumable restock (2x CTA10 + 1x MC-5).</t>
  </si>
  <si>
    <t xml:space="preserve">Contingency: shipping, M4/M6 adapters, low-profile screws, SMA savers</t>
  </si>
  <si>
    <t xml:space="preserve">(various)</t>
  </si>
  <si>
    <t xml:space="preserve">various</t>
  </si>
  <si>
    <t xml:space="preserve">https://www.thorlabs.com/navigation.cfm?guide_id=51</t>
  </si>
  <si>
    <t xml:space="preserve">ESTIMATE. Small mechanical hardware identified during assembly plus carriage; keeps the tranche from stalling on 10 EUR parts.</t>
  </si>
  <si>
    <t xml:space="preserve">TIER B SUBTOTAL - extension (2,000 EUR tranche)</t>
  </si>
  <si>
    <t xml:space="preserve">GRAND TOTAL (ex-VAT)</t>
  </si>
  <si>
    <t xml:space="preserve">Memo: same total including 21 % Spanish VAT</t>
  </si>
  <si>
    <t xml:space="preserve">Check with the finance office which basis the 3 k + 2 k awards are quoted on.</t>
  </si>
  <si>
    <t xml:space="preserve">Budget check</t>
  </si>
  <si>
    <t xml:space="preserve">Tier A vs 3,000 EUR available</t>
  </si>
  <si>
    <t xml:space="preserve">Tier B vs 2,000 EUR available</t>
  </si>
  <si>
    <t xml:space="preserve">Total headroom vs 5,000 EUR</t>
  </si>
  <si>
    <t xml:space="preserve">Items evaluated and deliberately excluded</t>
  </si>
  <si>
    <t xml:space="preserve">Indicative price (EUR)</t>
  </si>
  <si>
    <t xml:space="preserve">Why it is not in this request</t>
  </si>
  <si>
    <t xml:space="preserve">Single-photon counting module (e.g. Excelitas SPCM-AQRH)</t>
  </si>
  <si>
    <t xml:space="preserve">~6,000-8,000</t>
  </si>
  <si>
    <t xml:space="preserve">The only real route to single-NV work: the APD430A is an analogue detector and a single NV delivers femtoamps. Out of scope for this budget; propose as a separate capital request.</t>
  </si>
  <si>
    <t xml:space="preserve">Zero-order half-wave plate WPH10M-532 (605.44) + mount</t>
  </si>
  <si>
    <t xml:space="preserve">605.44</t>
  </si>
  <si>
    <t xml:space="preserve">Would add NV-orientation-selective excitation on top of power control. Deferred - the polariser alone already gives continuous power control. First item to add if funds free up.</t>
  </si>
  <si>
    <t xml:space="preserve">Thorlabs NEK01 ND filter kit (10 filters)</t>
  </si>
  <si>
    <t xml:space="preserve">617.07</t>
  </si>
  <si>
    <t xml:space="preserve">Two individual ND filters cover the needed range at 1/5 of the cost.</t>
  </si>
  <si>
    <t xml:space="preserve">3B Scientific Helmholtz coil pair U8481500</t>
  </si>
  <si>
    <t xml:space="preserve">~700</t>
  </si>
  <si>
    <t xml:space="preserve">Turnkey but 300 mm coils are oversized for the table and the field is easily computed from a wound coil at ~1/8 the price.</t>
  </si>
  <si>
    <t xml:space="preserve">Second NV diamond with lower NV density</t>
  </si>
  <si>
    <t xml:space="preserve">~1,000-3,700</t>
  </si>
  <si>
    <t xml:space="preserve">Would give narrower lines and a resolvable 14N triplet for the Rabi work. Too expensive here; the existing ELSC20 should be tried first.</t>
  </si>
  <si>
    <t xml:space="preserve">Zurich Instruments MFLI options (MF-MD multi-demodulator, MF-PID)</t>
  </si>
  <si>
    <t xml:space="preserve">quote required</t>
  </si>
  <si>
    <t xml:space="preserve">The only software licences worth considering: MF-MD would demodulate 1f and 2f simultaneously (derivative + absorption in one pass), MF-PID would move the WP3 feedback loop into hardware. Both need a quote from ZI - request before committing budget.</t>
  </si>
  <si>
    <t xml:space="preserve">Analysis software licence (Origin, MATLAB, LabVIEW)</t>
  </si>
  <si>
    <t xml:space="preserve">n/a</t>
  </si>
  <si>
    <t xml:space="preserve">Not recommended: the acquisition and analysis stack is already Python/numpy/matplotlib and is written and tested.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</si>
</sst>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EUR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6E0B4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horlabs.com/thorproduct.cfm?partnumber=PDA100A2" TargetMode="External"/><Relationship Id="rId2" Type="http://schemas.openxmlformats.org/officeDocument/2006/relationships/hyperlink" Target="https://www.thorlabs.com/thorproduct.cfm?partnumber=ACL25416U-B" TargetMode="External"/><Relationship Id="rId3" Type="http://schemas.openxmlformats.org/officeDocument/2006/relationships/hyperlink" Target="https://www.thorlabs.com/thorproduct.cfm?partnumber=SM1L10" TargetMode="External"/><Relationship Id="rId4" Type="http://schemas.openxmlformats.org/officeDocument/2006/relationships/hyperlink" Target="https://www.thorlabs.com/thorproduct.cfm?partnumber=LMR1/M" TargetMode="External"/><Relationship Id="rId5" Type="http://schemas.openxmlformats.org/officeDocument/2006/relationships/hyperlink" Target="https://www.thorlabs.com/thorproduct.cfm?partnumber=FELH0650" TargetMode="External"/><Relationship Id="rId6" Type="http://schemas.openxmlformats.org/officeDocument/2006/relationships/hyperlink" Target="https://www.thorlabs.com/thorproduct.cfm?partnumber=TB4" TargetMode="External"/><Relationship Id="rId7" Type="http://schemas.openxmlformats.org/officeDocument/2006/relationships/hyperlink" Target="https://www.thorlabs.com/thorproduct.cfm?partnumber=BK5" TargetMode="External"/><Relationship Id="rId8" Type="http://schemas.openxmlformats.org/officeDocument/2006/relationships/hyperlink" Target="https://www.thorlabs.com/thorproduct.cfm?partnumber=BKF12" TargetMode="External"/><Relationship Id="rId9" Type="http://schemas.openxmlformats.org/officeDocument/2006/relationships/hyperlink" Target="https://www.thorlabs.com/thorproduct.cfm?partnumber=BT610/M" TargetMode="External"/><Relationship Id="rId10" Type="http://schemas.openxmlformats.org/officeDocument/2006/relationships/hyperlink" Target="https://www.thorlabs.com/thorproduct.cfm?partnumber=PAF2-A7A" TargetMode="External"/><Relationship Id="rId11" Type="http://schemas.openxmlformats.org/officeDocument/2006/relationships/hyperlink" Target="https://www.digikey.es/es/products/detail/mini-circuits/BW-S30W20/16682977" TargetMode="External"/><Relationship Id="rId12" Type="http://schemas.openxmlformats.org/officeDocument/2006/relationships/hyperlink" Target="https://www.digikey.es/es/products/detail/mini-circuits/ZX47-40-S/21727781" TargetMode="External"/><Relationship Id="rId13" Type="http://schemas.openxmlformats.org/officeDocument/2006/relationships/hyperlink" Target="https://www.digikey.es/es/products/result?keywords=ZASWA-2-50DRA%2B" TargetMode="External"/><Relationship Id="rId14" Type="http://schemas.openxmlformats.org/officeDocument/2006/relationships/hyperlink" Target="https://www.mouser.es/c/?q=ultra%20flexible%20sma%20cable" TargetMode="External"/><Relationship Id="rId15" Type="http://schemas.openxmlformats.org/officeDocument/2006/relationships/hyperlink" Target="https://www.mouser.es/c/connectors/rf-coaxial-connectors/" TargetMode="External"/><Relationship Id="rId16" Type="http://schemas.openxmlformats.org/officeDocument/2006/relationships/hyperlink" Target="https://www.thorlabs.com/thorproduct.cfm?partnumber=TSP01" TargetMode="External"/><Relationship Id="rId17" Type="http://schemas.openxmlformats.org/officeDocument/2006/relationships/hyperlink" Target="https://www.thorlabs.com/thorproduct.cfm?partnumber=HT10K" TargetMode="External"/><Relationship Id="rId18" Type="http://schemas.openxmlformats.org/officeDocument/2006/relationships/hyperlink" Target="https://www.thorlabs.com/thorproduct.cfm?partnumber=TH10K" TargetMode="External"/><Relationship Id="rId19" Type="http://schemas.openxmlformats.org/officeDocument/2006/relationships/hyperlink" Target="https://www.thorlabs.com/thorproduct.cfm?partnumber=MC-5" TargetMode="External"/><Relationship Id="rId20" Type="http://schemas.openxmlformats.org/officeDocument/2006/relationships/hyperlink" Target="https://www.thorlabs.com/thorproduct.cfm?partnumber=CTA10" TargetMode="External"/><Relationship Id="rId21" Type="http://schemas.openxmlformats.org/officeDocument/2006/relationships/hyperlink" Target="https://www.amazon.es/s?k=isopropanol+99.9+reagent+grade" TargetMode="External"/><Relationship Id="rId22" Type="http://schemas.openxmlformats.org/officeDocument/2006/relationships/hyperlink" Target="https://www.amazon.es/s?k=agua+desionizada" TargetMode="External"/><Relationship Id="rId23" Type="http://schemas.openxmlformats.org/officeDocument/2006/relationships/hyperlink" Target="https://www.thorlabs.com/thorproduct.cfm?partnumber=PDA100A2" TargetMode="External"/><Relationship Id="rId24" Type="http://schemas.openxmlformats.org/officeDocument/2006/relationships/hyperlink" Target="https://www.thorlabs.com/thorproduct.cfm?partnumber=BSF10-A" TargetMode="External"/><Relationship Id="rId25" Type="http://schemas.openxmlformats.org/officeDocument/2006/relationships/hyperlink" Target="https://www.thorlabs.com/thorproduct.cfm?partnumber=LPVISE100-A" TargetMode="External"/><Relationship Id="rId26" Type="http://schemas.openxmlformats.org/officeDocument/2006/relationships/hyperlink" Target="https://www.thorlabs.com/thorproduct.cfm?partnumber=RSP1/M" TargetMode="External"/><Relationship Id="rId27" Type="http://schemas.openxmlformats.org/officeDocument/2006/relationships/hyperlink" Target="https://www.thorlabs.com/thorproduct.cfm?partnumber=NE10A" TargetMode="External"/><Relationship Id="rId28" Type="http://schemas.openxmlformats.org/officeDocument/2006/relationships/hyperlink" Target="https://www.thorlabs.com/thorproduct.cfm?partnumber=NE20A" TargetMode="External"/><Relationship Id="rId29" Type="http://schemas.openxmlformats.org/officeDocument/2006/relationships/hyperlink" Target="https://www.thorlabs.com/thorproduct.cfm?partnumber=P3-488PM-FC-2" TargetMode="External"/><Relationship Id="rId30" Type="http://schemas.openxmlformats.org/officeDocument/2006/relationships/hyperlink" Target="https://www.thorlabs.com/thorproduct.cfm?partnumber=B4CRP/M" TargetMode="External"/><Relationship Id="rId31" Type="http://schemas.openxmlformats.org/officeDocument/2006/relationships/hyperlink" Target="https://www.thorlabs.com/thorproduct.cfm?partnumber=SM1L10" TargetMode="External"/><Relationship Id="rId32" Type="http://schemas.openxmlformats.org/officeDocument/2006/relationships/hyperlink" Target="https://www.thorlabs.com/thorproduct.cfm?partnumber=ACL25416U-B" TargetMode="External"/><Relationship Id="rId33" Type="http://schemas.openxmlformats.org/officeDocument/2006/relationships/hyperlink" Target="https://es.rs-online.com/web/c/cables-hilos/hilo-electrico/hilo-de-cobre-esmaltado/" TargetMode="External"/><Relationship Id="rId34" Type="http://schemas.openxmlformats.org/officeDocument/2006/relationships/hyperlink" Target="https://www.amazon.es/s?k=purificador+de+aire+HEPA" TargetMode="External"/><Relationship Id="rId35" Type="http://schemas.openxmlformats.org/officeDocument/2006/relationships/hyperlink" Target="https://www.thorlabs.com/thorproduct.cfm?partnumber=CTA10" TargetMode="External"/><Relationship Id="rId36" Type="http://schemas.openxmlformats.org/officeDocument/2006/relationships/hyperlink" Target="https://www.thorlabs.com/navigation.cfm?guide_id=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6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52"/>
    <col collapsed="false" customWidth="true" hidden="false" outlineLevel="0" max="10" min="10" style="0" width="8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35.05" hidden="false" customHeight="false" outlineLevel="0" collapsed="false">
      <c r="A6" s="5" t="s">
        <v>13</v>
      </c>
      <c r="B6" s="5" t="s">
        <v>12</v>
      </c>
      <c r="C6" s="5" t="s">
        <v>14</v>
      </c>
      <c r="D6" s="5" t="s">
        <v>15</v>
      </c>
      <c r="E6" s="5" t="s">
        <v>16</v>
      </c>
      <c r="F6" s="5" t="n">
        <v>1</v>
      </c>
      <c r="G6" s="6" t="n">
        <v>399.87</v>
      </c>
      <c r="H6" s="6" t="n">
        <f aca="false">F6*G6</f>
        <v>399.87</v>
      </c>
      <c r="I6" s="7" t="s">
        <v>17</v>
      </c>
      <c r="J6" s="5" t="s">
        <v>18</v>
      </c>
    </row>
    <row r="7" customFormat="false" ht="23.85" hidden="false" customHeight="false" outlineLevel="0" collapsed="false">
      <c r="A7" s="5" t="s">
        <v>13</v>
      </c>
      <c r="B7" s="5" t="s">
        <v>12</v>
      </c>
      <c r="C7" s="5" t="s">
        <v>19</v>
      </c>
      <c r="D7" s="5" t="s">
        <v>20</v>
      </c>
      <c r="E7" s="5" t="s">
        <v>16</v>
      </c>
      <c r="F7" s="5" t="n">
        <v>2</v>
      </c>
      <c r="G7" s="6" t="n">
        <v>31.21</v>
      </c>
      <c r="H7" s="6" t="n">
        <f aca="false">F7*G7</f>
        <v>62.42</v>
      </c>
      <c r="I7" s="7" t="s">
        <v>21</v>
      </c>
      <c r="J7" s="5" t="s">
        <v>22</v>
      </c>
    </row>
    <row r="8" customFormat="false" ht="23.85" hidden="false" customHeight="false" outlineLevel="0" collapsed="false">
      <c r="A8" s="5" t="s">
        <v>13</v>
      </c>
      <c r="B8" s="5" t="s">
        <v>12</v>
      </c>
      <c r="C8" s="5" t="s">
        <v>23</v>
      </c>
      <c r="D8" s="5" t="s">
        <v>24</v>
      </c>
      <c r="E8" s="5" t="s">
        <v>16</v>
      </c>
      <c r="F8" s="5" t="n">
        <v>2</v>
      </c>
      <c r="G8" s="6" t="n">
        <v>14.99</v>
      </c>
      <c r="H8" s="6" t="n">
        <f aca="false">F8*G8</f>
        <v>29.98</v>
      </c>
      <c r="I8" s="7" t="s">
        <v>25</v>
      </c>
      <c r="J8" s="5" t="s">
        <v>26</v>
      </c>
    </row>
    <row r="9" customFormat="false" ht="23.85" hidden="false" customHeight="false" outlineLevel="0" collapsed="false">
      <c r="A9" s="5" t="s">
        <v>13</v>
      </c>
      <c r="B9" s="5" t="s">
        <v>12</v>
      </c>
      <c r="C9" s="5" t="s">
        <v>27</v>
      </c>
      <c r="D9" s="5" t="s">
        <v>28</v>
      </c>
      <c r="E9" s="5" t="s">
        <v>16</v>
      </c>
      <c r="F9" s="5" t="n">
        <v>2</v>
      </c>
      <c r="G9" s="6" t="n">
        <v>16.02</v>
      </c>
      <c r="H9" s="6" t="n">
        <f aca="false">F9*G9</f>
        <v>32.04</v>
      </c>
      <c r="I9" s="7" t="s">
        <v>29</v>
      </c>
      <c r="J9" s="5" t="s">
        <v>30</v>
      </c>
    </row>
    <row r="10" customFormat="false" ht="23.85" hidden="false" customHeight="false" outlineLevel="0" collapsed="false">
      <c r="A10" s="5" t="s">
        <v>13</v>
      </c>
      <c r="B10" s="5" t="s">
        <v>12</v>
      </c>
      <c r="C10" s="5" t="s">
        <v>31</v>
      </c>
      <c r="D10" s="5" t="s">
        <v>32</v>
      </c>
      <c r="E10" s="5" t="s">
        <v>16</v>
      </c>
      <c r="F10" s="5" t="n">
        <v>1</v>
      </c>
      <c r="G10" s="6" t="n">
        <v>153.86</v>
      </c>
      <c r="H10" s="6" t="n">
        <f aca="false">F10*G10</f>
        <v>153.86</v>
      </c>
      <c r="I10" s="7" t="s">
        <v>33</v>
      </c>
      <c r="J10" s="5" t="s">
        <v>34</v>
      </c>
    </row>
    <row r="11" customFormat="false" ht="15" hidden="false" customHeight="false" outlineLevel="0" collapsed="false">
      <c r="A11" s="4" t="s">
        <v>35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5" t="s">
        <v>13</v>
      </c>
      <c r="B12" s="5" t="s">
        <v>35</v>
      </c>
      <c r="C12" s="5" t="s">
        <v>36</v>
      </c>
      <c r="D12" s="5" t="s">
        <v>37</v>
      </c>
      <c r="E12" s="5" t="s">
        <v>16</v>
      </c>
      <c r="F12" s="5" t="n">
        <v>2</v>
      </c>
      <c r="G12" s="6" t="n">
        <v>73.95</v>
      </c>
      <c r="H12" s="6" t="n">
        <f aca="false">F12*G12</f>
        <v>147.9</v>
      </c>
      <c r="I12" s="7" t="s">
        <v>38</v>
      </c>
      <c r="J12" s="5" t="s">
        <v>39</v>
      </c>
    </row>
    <row r="13" customFormat="false" ht="15" hidden="false" customHeight="false" outlineLevel="0" collapsed="false">
      <c r="A13" s="5" t="s">
        <v>13</v>
      </c>
      <c r="B13" s="5" t="s">
        <v>35</v>
      </c>
      <c r="C13" s="5" t="s">
        <v>40</v>
      </c>
      <c r="D13" s="5" t="s">
        <v>41</v>
      </c>
      <c r="E13" s="5" t="s">
        <v>16</v>
      </c>
      <c r="F13" s="5" t="n">
        <v>1</v>
      </c>
      <c r="G13" s="6" t="n">
        <v>61.64</v>
      </c>
      <c r="H13" s="6" t="n">
        <f aca="false">F13*G13</f>
        <v>61.64</v>
      </c>
      <c r="I13" s="7" t="s">
        <v>42</v>
      </c>
      <c r="J13" s="5" t="s">
        <v>43</v>
      </c>
    </row>
    <row r="14" customFormat="false" ht="15" hidden="false" customHeight="false" outlineLevel="0" collapsed="false">
      <c r="A14" s="5" t="s">
        <v>13</v>
      </c>
      <c r="B14" s="5" t="s">
        <v>35</v>
      </c>
      <c r="C14" s="5" t="s">
        <v>44</v>
      </c>
      <c r="D14" s="5" t="s">
        <v>45</v>
      </c>
      <c r="E14" s="5" t="s">
        <v>16</v>
      </c>
      <c r="F14" s="5" t="n">
        <v>2</v>
      </c>
      <c r="G14" s="6" t="n">
        <v>35.37</v>
      </c>
      <c r="H14" s="6" t="n">
        <f aca="false">F14*G14</f>
        <v>70.74</v>
      </c>
      <c r="I14" s="7" t="s">
        <v>46</v>
      </c>
      <c r="J14" s="5" t="s">
        <v>47</v>
      </c>
    </row>
    <row r="15" customFormat="false" ht="23.85" hidden="false" customHeight="false" outlineLevel="0" collapsed="false">
      <c r="A15" s="5" t="s">
        <v>13</v>
      </c>
      <c r="B15" s="5" t="s">
        <v>35</v>
      </c>
      <c r="C15" s="5" t="s">
        <v>48</v>
      </c>
      <c r="D15" s="5" t="s">
        <v>49</v>
      </c>
      <c r="E15" s="5" t="s">
        <v>16</v>
      </c>
      <c r="F15" s="5" t="n">
        <v>1</v>
      </c>
      <c r="G15" s="6" t="n">
        <v>342</v>
      </c>
      <c r="H15" s="6" t="n">
        <f aca="false">F15*G15</f>
        <v>342</v>
      </c>
      <c r="I15" s="7" t="s">
        <v>50</v>
      </c>
      <c r="J15" s="5" t="s">
        <v>51</v>
      </c>
    </row>
    <row r="16" customFormat="false" ht="15" hidden="false" customHeight="false" outlineLevel="0" collapsed="false">
      <c r="A16" s="4" t="s">
        <v>52</v>
      </c>
      <c r="B16" s="4"/>
      <c r="C16" s="4"/>
      <c r="D16" s="4"/>
      <c r="E16" s="4"/>
      <c r="F16" s="4"/>
      <c r="G16" s="4"/>
      <c r="H16" s="4"/>
      <c r="I16" s="4"/>
      <c r="J16" s="4"/>
    </row>
    <row r="17" customFormat="false" ht="46.25" hidden="false" customHeight="false" outlineLevel="0" collapsed="false">
      <c r="A17" s="5" t="s">
        <v>13</v>
      </c>
      <c r="B17" s="5" t="s">
        <v>52</v>
      </c>
      <c r="C17" s="5" t="s">
        <v>53</v>
      </c>
      <c r="D17" s="5" t="s">
        <v>54</v>
      </c>
      <c r="E17" s="5" t="s">
        <v>16</v>
      </c>
      <c r="F17" s="5" t="n">
        <v>1</v>
      </c>
      <c r="G17" s="6" t="n">
        <v>681.22</v>
      </c>
      <c r="H17" s="6" t="n">
        <f aca="false">F17*G17</f>
        <v>681.22</v>
      </c>
      <c r="I17" s="7" t="s">
        <v>55</v>
      </c>
      <c r="J17" s="5" t="s">
        <v>56</v>
      </c>
    </row>
    <row r="18" customFormat="false" ht="15" hidden="false" customHeight="false" outlineLevel="0" collapsed="false">
      <c r="A18" s="4" t="s">
        <v>57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35.05" hidden="false" customHeight="false" outlineLevel="0" collapsed="false">
      <c r="A19" s="5" t="s">
        <v>13</v>
      </c>
      <c r="B19" s="5" t="s">
        <v>57</v>
      </c>
      <c r="C19" s="5" t="s">
        <v>58</v>
      </c>
      <c r="D19" s="5" t="s">
        <v>59</v>
      </c>
      <c r="E19" s="5" t="s">
        <v>60</v>
      </c>
      <c r="F19" s="5" t="n">
        <v>1</v>
      </c>
      <c r="G19" s="6" t="n">
        <v>203.85</v>
      </c>
      <c r="H19" s="6" t="n">
        <f aca="false">F19*G19</f>
        <v>203.85</v>
      </c>
      <c r="I19" s="7" t="s">
        <v>61</v>
      </c>
      <c r="J19" s="5" t="s">
        <v>62</v>
      </c>
    </row>
    <row r="20" customFormat="false" ht="23.85" hidden="false" customHeight="false" outlineLevel="0" collapsed="false">
      <c r="A20" s="5" t="s">
        <v>13</v>
      </c>
      <c r="B20" s="5" t="s">
        <v>57</v>
      </c>
      <c r="C20" s="5" t="s">
        <v>63</v>
      </c>
      <c r="D20" s="5" t="s">
        <v>64</v>
      </c>
      <c r="E20" s="5" t="s">
        <v>60</v>
      </c>
      <c r="F20" s="5" t="n">
        <v>1</v>
      </c>
      <c r="G20" s="6" t="n">
        <v>149.31</v>
      </c>
      <c r="H20" s="6" t="n">
        <f aca="false">F20*G20</f>
        <v>149.31</v>
      </c>
      <c r="I20" s="7" t="s">
        <v>65</v>
      </c>
      <c r="J20" s="5" t="s">
        <v>66</v>
      </c>
    </row>
    <row r="21" customFormat="false" ht="23.85" hidden="false" customHeight="false" outlineLevel="0" collapsed="false">
      <c r="A21" s="5" t="s">
        <v>13</v>
      </c>
      <c r="B21" s="5" t="s">
        <v>57</v>
      </c>
      <c r="C21" s="5" t="s">
        <v>67</v>
      </c>
      <c r="D21" s="5" t="s">
        <v>68</v>
      </c>
      <c r="E21" s="5" t="s">
        <v>60</v>
      </c>
      <c r="F21" s="5" t="n">
        <v>1</v>
      </c>
      <c r="G21" s="6" t="n">
        <v>189.93</v>
      </c>
      <c r="H21" s="6" t="n">
        <f aca="false">F21*G21</f>
        <v>189.93</v>
      </c>
      <c r="I21" s="7" t="s">
        <v>69</v>
      </c>
      <c r="J21" s="5" t="s">
        <v>70</v>
      </c>
    </row>
    <row r="22" customFormat="false" ht="23.85" hidden="false" customHeight="false" outlineLevel="0" collapsed="false">
      <c r="A22" s="5" t="s">
        <v>13</v>
      </c>
      <c r="B22" s="5" t="s">
        <v>57</v>
      </c>
      <c r="C22" s="5" t="s">
        <v>71</v>
      </c>
      <c r="D22" s="5" t="s">
        <v>72</v>
      </c>
      <c r="E22" s="5" t="s">
        <v>73</v>
      </c>
      <c r="F22" s="5" t="n">
        <v>4</v>
      </c>
      <c r="G22" s="8" t="n">
        <v>20.35</v>
      </c>
      <c r="H22" s="6" t="n">
        <f aca="false">F22*G22</f>
        <v>81.4</v>
      </c>
      <c r="I22" s="7" t="s">
        <v>74</v>
      </c>
      <c r="J22" s="5" t="s">
        <v>75</v>
      </c>
    </row>
    <row r="23" customFormat="false" ht="23.85" hidden="false" customHeight="false" outlineLevel="0" collapsed="false">
      <c r="A23" s="5" t="s">
        <v>13</v>
      </c>
      <c r="B23" s="5" t="s">
        <v>57</v>
      </c>
      <c r="C23" s="5" t="s">
        <v>76</v>
      </c>
      <c r="D23" s="5" t="s">
        <v>72</v>
      </c>
      <c r="E23" s="5" t="s">
        <v>73</v>
      </c>
      <c r="F23" s="5" t="n">
        <v>8</v>
      </c>
      <c r="G23" s="8" t="n">
        <v>7.17</v>
      </c>
      <c r="H23" s="6" t="n">
        <f aca="false">F23*G23</f>
        <v>57.36</v>
      </c>
      <c r="I23" s="7" t="s">
        <v>77</v>
      </c>
      <c r="J23" s="5" t="s">
        <v>78</v>
      </c>
    </row>
    <row r="24" customFormat="false" ht="15" hidden="false" customHeight="false" outlineLevel="0" collapsed="false">
      <c r="A24" s="4" t="s">
        <v>79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23.85" hidden="false" customHeight="false" outlineLevel="0" collapsed="false">
      <c r="A25" s="5" t="s">
        <v>13</v>
      </c>
      <c r="B25" s="5" t="s">
        <v>79</v>
      </c>
      <c r="C25" s="5" t="s">
        <v>80</v>
      </c>
      <c r="D25" s="5" t="s">
        <v>81</v>
      </c>
      <c r="E25" s="5" t="s">
        <v>16</v>
      </c>
      <c r="F25" s="5" t="n">
        <v>1</v>
      </c>
      <c r="G25" s="6" t="n">
        <v>158.29</v>
      </c>
      <c r="H25" s="6" t="n">
        <f aca="false">F25*G25</f>
        <v>158.29</v>
      </c>
      <c r="I25" s="7" t="s">
        <v>82</v>
      </c>
      <c r="J25" s="5" t="s">
        <v>83</v>
      </c>
    </row>
    <row r="26" customFormat="false" ht="23.85" hidden="false" customHeight="false" outlineLevel="0" collapsed="false">
      <c r="A26" s="5" t="s">
        <v>13</v>
      </c>
      <c r="B26" s="5" t="s">
        <v>79</v>
      </c>
      <c r="C26" s="5" t="s">
        <v>84</v>
      </c>
      <c r="D26" s="5" t="s">
        <v>85</v>
      </c>
      <c r="E26" s="5" t="s">
        <v>16</v>
      </c>
      <c r="F26" s="5" t="n">
        <v>2</v>
      </c>
      <c r="G26" s="6" t="n">
        <v>59.79</v>
      </c>
      <c r="H26" s="6" t="n">
        <f aca="false">F26*G26</f>
        <v>119.58</v>
      </c>
      <c r="I26" s="7" t="s">
        <v>86</v>
      </c>
      <c r="J26" s="5" t="s">
        <v>87</v>
      </c>
    </row>
    <row r="27" customFormat="false" ht="15" hidden="false" customHeight="false" outlineLevel="0" collapsed="false">
      <c r="A27" s="5" t="s">
        <v>13</v>
      </c>
      <c r="B27" s="5" t="s">
        <v>79</v>
      </c>
      <c r="C27" s="5" t="s">
        <v>88</v>
      </c>
      <c r="D27" s="5" t="s">
        <v>89</v>
      </c>
      <c r="E27" s="5" t="s">
        <v>16</v>
      </c>
      <c r="F27" s="5" t="n">
        <v>4</v>
      </c>
      <c r="G27" s="6" t="n">
        <v>4.84</v>
      </c>
      <c r="H27" s="6" t="n">
        <f aca="false">F27*G27</f>
        <v>19.36</v>
      </c>
      <c r="I27" s="7" t="s">
        <v>90</v>
      </c>
      <c r="J27" s="5" t="s">
        <v>91</v>
      </c>
    </row>
    <row r="28" customFormat="false" ht="15" hidden="false" customHeight="false" outlineLevel="0" collapsed="false">
      <c r="A28" s="4" t="s">
        <v>92</v>
      </c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5" t="s">
        <v>13</v>
      </c>
      <c r="B29" s="5" t="s">
        <v>92</v>
      </c>
      <c r="C29" s="5" t="s">
        <v>93</v>
      </c>
      <c r="D29" s="5" t="s">
        <v>94</v>
      </c>
      <c r="E29" s="5" t="s">
        <v>16</v>
      </c>
      <c r="F29" s="5" t="n">
        <v>1</v>
      </c>
      <c r="G29" s="6" t="n">
        <v>11.34</v>
      </c>
      <c r="H29" s="6" t="n">
        <f aca="false">F29*G29</f>
        <v>11.34</v>
      </c>
      <c r="I29" s="7" t="s">
        <v>95</v>
      </c>
      <c r="J29" s="5" t="s">
        <v>96</v>
      </c>
    </row>
    <row r="30" customFormat="false" ht="15" hidden="false" customHeight="false" outlineLevel="0" collapsed="false">
      <c r="A30" s="5" t="s">
        <v>13</v>
      </c>
      <c r="B30" s="5" t="s">
        <v>92</v>
      </c>
      <c r="C30" s="5" t="s">
        <v>97</v>
      </c>
      <c r="D30" s="5" t="s">
        <v>98</v>
      </c>
      <c r="E30" s="5" t="s">
        <v>16</v>
      </c>
      <c r="F30" s="5" t="n">
        <v>1</v>
      </c>
      <c r="G30" s="6" t="n">
        <v>4.97</v>
      </c>
      <c r="H30" s="6" t="n">
        <f aca="false">F30*G30</f>
        <v>4.97</v>
      </c>
      <c r="I30" s="7" t="s">
        <v>99</v>
      </c>
      <c r="J30" s="5" t="s">
        <v>100</v>
      </c>
    </row>
    <row r="31" customFormat="false" ht="15" hidden="false" customHeight="false" outlineLevel="0" collapsed="false">
      <c r="A31" s="5" t="s">
        <v>13</v>
      </c>
      <c r="B31" s="5" t="s">
        <v>92</v>
      </c>
      <c r="C31" s="5" t="s">
        <v>101</v>
      </c>
      <c r="D31" s="5" t="s">
        <v>72</v>
      </c>
      <c r="E31" s="5" t="s">
        <v>102</v>
      </c>
      <c r="F31" s="5" t="n">
        <v>1</v>
      </c>
      <c r="G31" s="8" t="n">
        <v>8.39</v>
      </c>
      <c r="H31" s="6" t="n">
        <f aca="false">F31*G31</f>
        <v>8.39</v>
      </c>
      <c r="I31" s="7" t="s">
        <v>103</v>
      </c>
      <c r="J31" s="5" t="s">
        <v>104</v>
      </c>
    </row>
    <row r="32" customFormat="false" ht="15" hidden="false" customHeight="false" outlineLevel="0" collapsed="false">
      <c r="A32" s="5" t="s">
        <v>13</v>
      </c>
      <c r="B32" s="5" t="s">
        <v>92</v>
      </c>
      <c r="C32" s="5" t="s">
        <v>105</v>
      </c>
      <c r="D32" s="5" t="s">
        <v>72</v>
      </c>
      <c r="E32" s="5" t="s">
        <v>102</v>
      </c>
      <c r="F32" s="5" t="n">
        <v>1</v>
      </c>
      <c r="G32" s="8" t="n">
        <v>10.3</v>
      </c>
      <c r="H32" s="6" t="n">
        <f aca="false">F32*G32</f>
        <v>10.3</v>
      </c>
      <c r="I32" s="7" t="s">
        <v>106</v>
      </c>
      <c r="J32" s="5" t="s">
        <v>104</v>
      </c>
    </row>
    <row r="33" customFormat="false" ht="15" hidden="false" customHeight="false" outlineLevel="0" collapsed="false">
      <c r="A33" s="9"/>
      <c r="B33" s="9"/>
      <c r="C33" s="10" t="s">
        <v>107</v>
      </c>
      <c r="D33" s="9"/>
      <c r="E33" s="9"/>
      <c r="F33" s="9"/>
      <c r="G33" s="9"/>
      <c r="H33" s="11" t="n">
        <f aca="false">SUM(H6:H32)</f>
        <v>2995.75</v>
      </c>
      <c r="I33" s="9"/>
      <c r="J33" s="9"/>
    </row>
    <row r="35" customFormat="false" ht="15" hidden="false" customHeight="false" outlineLevel="0" collapsed="false">
      <c r="A35" s="4" t="s">
        <v>108</v>
      </c>
      <c r="B35" s="4"/>
      <c r="C35" s="4"/>
      <c r="D35" s="4"/>
      <c r="E35" s="4"/>
      <c r="F35" s="4"/>
      <c r="G35" s="4"/>
      <c r="H35" s="4"/>
      <c r="I35" s="4"/>
      <c r="J35" s="4"/>
    </row>
    <row r="36" customFormat="false" ht="35.05" hidden="false" customHeight="false" outlineLevel="0" collapsed="false">
      <c r="A36" s="5" t="s">
        <v>109</v>
      </c>
      <c r="B36" s="5" t="s">
        <v>108</v>
      </c>
      <c r="C36" s="5" t="s">
        <v>110</v>
      </c>
      <c r="D36" s="5" t="s">
        <v>15</v>
      </c>
      <c r="E36" s="5" t="s">
        <v>16</v>
      </c>
      <c r="F36" s="5" t="n">
        <v>1</v>
      </c>
      <c r="G36" s="6" t="n">
        <v>399.87</v>
      </c>
      <c r="H36" s="6" t="n">
        <f aca="false">F36*G36</f>
        <v>399.87</v>
      </c>
      <c r="I36" s="7" t="s">
        <v>17</v>
      </c>
      <c r="J36" s="5" t="s">
        <v>111</v>
      </c>
    </row>
    <row r="37" customFormat="false" ht="23.85" hidden="false" customHeight="false" outlineLevel="0" collapsed="false">
      <c r="A37" s="5" t="s">
        <v>109</v>
      </c>
      <c r="B37" s="5" t="s">
        <v>108</v>
      </c>
      <c r="C37" s="5" t="s">
        <v>112</v>
      </c>
      <c r="D37" s="5" t="s">
        <v>113</v>
      </c>
      <c r="E37" s="5" t="s">
        <v>16</v>
      </c>
      <c r="F37" s="5" t="n">
        <v>1</v>
      </c>
      <c r="G37" s="6" t="n">
        <v>72.51</v>
      </c>
      <c r="H37" s="6" t="n">
        <f aca="false">F37*G37</f>
        <v>72.51</v>
      </c>
      <c r="I37" s="7" t="s">
        <v>114</v>
      </c>
      <c r="J37" s="5" t="s">
        <v>115</v>
      </c>
    </row>
    <row r="38" customFormat="false" ht="15" hidden="false" customHeight="false" outlineLevel="0" collapsed="false">
      <c r="A38" s="4" t="s">
        <v>116</v>
      </c>
      <c r="B38" s="4"/>
      <c r="C38" s="4"/>
      <c r="D38" s="4"/>
      <c r="E38" s="4"/>
      <c r="F38" s="4"/>
      <c r="G38" s="4"/>
      <c r="H38" s="4"/>
      <c r="I38" s="4"/>
      <c r="J38" s="4"/>
    </row>
    <row r="39" customFormat="false" ht="35.05" hidden="false" customHeight="false" outlineLevel="0" collapsed="false">
      <c r="A39" s="5" t="s">
        <v>109</v>
      </c>
      <c r="B39" s="5" t="s">
        <v>116</v>
      </c>
      <c r="C39" s="5" t="s">
        <v>117</v>
      </c>
      <c r="D39" s="5" t="s">
        <v>118</v>
      </c>
      <c r="E39" s="5" t="s">
        <v>16</v>
      </c>
      <c r="F39" s="5" t="n">
        <v>1</v>
      </c>
      <c r="G39" s="6" t="n">
        <v>103.08</v>
      </c>
      <c r="H39" s="6" t="n">
        <f aca="false">F39*G39</f>
        <v>103.08</v>
      </c>
      <c r="I39" s="7" t="s">
        <v>119</v>
      </c>
      <c r="J39" s="5" t="s">
        <v>120</v>
      </c>
    </row>
    <row r="40" customFormat="false" ht="15" hidden="false" customHeight="false" outlineLevel="0" collapsed="false">
      <c r="A40" s="5" t="s">
        <v>109</v>
      </c>
      <c r="B40" s="5" t="s">
        <v>116</v>
      </c>
      <c r="C40" s="5" t="s">
        <v>121</v>
      </c>
      <c r="D40" s="5" t="s">
        <v>122</v>
      </c>
      <c r="E40" s="5" t="s">
        <v>16</v>
      </c>
      <c r="F40" s="5" t="n">
        <v>1</v>
      </c>
      <c r="G40" s="6" t="n">
        <v>95.73</v>
      </c>
      <c r="H40" s="6" t="n">
        <f aca="false">F40*G40</f>
        <v>95.73</v>
      </c>
      <c r="I40" s="7" t="s">
        <v>123</v>
      </c>
      <c r="J40" s="5" t="s">
        <v>124</v>
      </c>
    </row>
    <row r="41" customFormat="false" ht="15" hidden="false" customHeight="false" outlineLevel="0" collapsed="false">
      <c r="A41" s="5" t="s">
        <v>109</v>
      </c>
      <c r="B41" s="5" t="s">
        <v>116</v>
      </c>
      <c r="C41" s="5" t="s">
        <v>125</v>
      </c>
      <c r="D41" s="5" t="s">
        <v>126</v>
      </c>
      <c r="E41" s="5" t="s">
        <v>16</v>
      </c>
      <c r="F41" s="5" t="n">
        <v>1</v>
      </c>
      <c r="G41" s="6" t="n">
        <v>58.34</v>
      </c>
      <c r="H41" s="6" t="n">
        <f aca="false">F41*G41</f>
        <v>58.34</v>
      </c>
      <c r="I41" s="7" t="s">
        <v>127</v>
      </c>
      <c r="J41" s="5" t="s">
        <v>128</v>
      </c>
    </row>
    <row r="42" customFormat="false" ht="15" hidden="false" customHeight="false" outlineLevel="0" collapsed="false">
      <c r="A42" s="5" t="s">
        <v>109</v>
      </c>
      <c r="B42" s="5" t="s">
        <v>116</v>
      </c>
      <c r="C42" s="5" t="s">
        <v>129</v>
      </c>
      <c r="D42" s="5" t="s">
        <v>130</v>
      </c>
      <c r="E42" s="5" t="s">
        <v>16</v>
      </c>
      <c r="F42" s="5" t="n">
        <v>1</v>
      </c>
      <c r="G42" s="6" t="n">
        <v>58.34</v>
      </c>
      <c r="H42" s="6" t="n">
        <f aca="false">F42*G42</f>
        <v>58.34</v>
      </c>
      <c r="I42" s="7" t="s">
        <v>131</v>
      </c>
      <c r="J42" s="5" t="s">
        <v>132</v>
      </c>
    </row>
    <row r="43" customFormat="false" ht="15" hidden="false" customHeight="false" outlineLevel="0" collapsed="false">
      <c r="A43" s="4" t="s">
        <v>133</v>
      </c>
      <c r="B43" s="4"/>
      <c r="C43" s="4"/>
      <c r="D43" s="4"/>
      <c r="E43" s="4"/>
      <c r="F43" s="4"/>
      <c r="G43" s="4"/>
      <c r="H43" s="4"/>
      <c r="I43" s="4"/>
      <c r="J43" s="4"/>
    </row>
    <row r="44" customFormat="false" ht="35.05" hidden="false" customHeight="false" outlineLevel="0" collapsed="false">
      <c r="A44" s="5" t="s">
        <v>109</v>
      </c>
      <c r="B44" s="5" t="s">
        <v>133</v>
      </c>
      <c r="C44" s="5" t="s">
        <v>134</v>
      </c>
      <c r="D44" s="5" t="s">
        <v>135</v>
      </c>
      <c r="E44" s="5" t="s">
        <v>16</v>
      </c>
      <c r="F44" s="5" t="n">
        <v>1</v>
      </c>
      <c r="G44" s="6" t="n">
        <v>282.24</v>
      </c>
      <c r="H44" s="6" t="n">
        <f aca="false">F44*G44</f>
        <v>282.24</v>
      </c>
      <c r="I44" s="7" t="s">
        <v>136</v>
      </c>
      <c r="J44" s="5" t="s">
        <v>137</v>
      </c>
    </row>
    <row r="45" customFormat="false" ht="23.85" hidden="false" customHeight="false" outlineLevel="0" collapsed="false">
      <c r="A45" s="5" t="s">
        <v>109</v>
      </c>
      <c r="B45" s="5" t="s">
        <v>133</v>
      </c>
      <c r="C45" s="5" t="s">
        <v>138</v>
      </c>
      <c r="D45" s="5" t="s">
        <v>139</v>
      </c>
      <c r="E45" s="5" t="s">
        <v>16</v>
      </c>
      <c r="F45" s="5" t="n">
        <v>1</v>
      </c>
      <c r="G45" s="6" t="n">
        <v>333.91</v>
      </c>
      <c r="H45" s="6" t="n">
        <f aca="false">F45*G45</f>
        <v>333.91</v>
      </c>
      <c r="I45" s="7" t="s">
        <v>140</v>
      </c>
      <c r="J45" s="5" t="s">
        <v>141</v>
      </c>
    </row>
    <row r="46" customFormat="false" ht="15" hidden="false" customHeight="false" outlineLevel="0" collapsed="false">
      <c r="A46" s="5" t="s">
        <v>109</v>
      </c>
      <c r="B46" s="5" t="s">
        <v>133</v>
      </c>
      <c r="C46" s="5" t="s">
        <v>142</v>
      </c>
      <c r="D46" s="5" t="s">
        <v>24</v>
      </c>
      <c r="E46" s="5" t="s">
        <v>16</v>
      </c>
      <c r="F46" s="5" t="n">
        <v>2</v>
      </c>
      <c r="G46" s="6" t="n">
        <v>14.99</v>
      </c>
      <c r="H46" s="6" t="n">
        <f aca="false">F46*G46</f>
        <v>29.98</v>
      </c>
      <c r="I46" s="7" t="s">
        <v>25</v>
      </c>
      <c r="J46" s="5" t="s">
        <v>143</v>
      </c>
    </row>
    <row r="47" customFormat="false" ht="15" hidden="false" customHeight="false" outlineLevel="0" collapsed="false">
      <c r="A47" s="5" t="s">
        <v>109</v>
      </c>
      <c r="B47" s="5" t="s">
        <v>133</v>
      </c>
      <c r="C47" s="5" t="s">
        <v>144</v>
      </c>
      <c r="D47" s="5" t="s">
        <v>20</v>
      </c>
      <c r="E47" s="5" t="s">
        <v>16</v>
      </c>
      <c r="F47" s="5" t="n">
        <v>1</v>
      </c>
      <c r="G47" s="6" t="n">
        <v>31.21</v>
      </c>
      <c r="H47" s="6" t="n">
        <f aca="false">F47*G47</f>
        <v>31.21</v>
      </c>
      <c r="I47" s="7" t="s">
        <v>21</v>
      </c>
      <c r="J47" s="5" t="s">
        <v>145</v>
      </c>
    </row>
    <row r="48" customFormat="false" ht="15" hidden="false" customHeight="false" outlineLevel="0" collapsed="false">
      <c r="A48" s="4" t="s">
        <v>146</v>
      </c>
      <c r="B48" s="4"/>
      <c r="C48" s="4"/>
      <c r="D48" s="4"/>
      <c r="E48" s="4"/>
      <c r="F48" s="4"/>
      <c r="G48" s="4"/>
      <c r="H48" s="4"/>
      <c r="I48" s="4"/>
      <c r="J48" s="4"/>
    </row>
    <row r="49" customFormat="false" ht="35.05" hidden="false" customHeight="false" outlineLevel="0" collapsed="false">
      <c r="A49" s="5" t="s">
        <v>109</v>
      </c>
      <c r="B49" s="5" t="s">
        <v>146</v>
      </c>
      <c r="C49" s="5" t="s">
        <v>147</v>
      </c>
      <c r="D49" s="5" t="s">
        <v>148</v>
      </c>
      <c r="E49" s="5" t="s">
        <v>149</v>
      </c>
      <c r="F49" s="5" t="n">
        <v>1</v>
      </c>
      <c r="G49" s="8" t="n">
        <v>80</v>
      </c>
      <c r="H49" s="6" t="n">
        <f aca="false">F49*G49</f>
        <v>80</v>
      </c>
      <c r="I49" s="7" t="s">
        <v>150</v>
      </c>
      <c r="J49" s="5" t="s">
        <v>151</v>
      </c>
    </row>
    <row r="50" customFormat="false" ht="15" hidden="false" customHeight="false" outlineLevel="0" collapsed="false">
      <c r="A50" s="4" t="s">
        <v>152</v>
      </c>
      <c r="B50" s="4"/>
      <c r="C50" s="4"/>
      <c r="D50" s="4"/>
      <c r="E50" s="4"/>
      <c r="F50" s="4"/>
      <c r="G50" s="4"/>
      <c r="H50" s="4"/>
      <c r="I50" s="4"/>
      <c r="J50" s="4"/>
    </row>
    <row r="51" customFormat="false" ht="23.85" hidden="false" customHeight="false" outlineLevel="0" collapsed="false">
      <c r="A51" s="5" t="s">
        <v>109</v>
      </c>
      <c r="B51" s="5" t="s">
        <v>152</v>
      </c>
      <c r="C51" s="5" t="s">
        <v>153</v>
      </c>
      <c r="D51" s="5" t="s">
        <v>72</v>
      </c>
      <c r="E51" s="5" t="s">
        <v>102</v>
      </c>
      <c r="F51" s="5" t="n">
        <v>1</v>
      </c>
      <c r="G51" s="8" t="n">
        <v>199</v>
      </c>
      <c r="H51" s="6" t="n">
        <f aca="false">F51*G51</f>
        <v>199</v>
      </c>
      <c r="I51" s="7" t="s">
        <v>154</v>
      </c>
      <c r="J51" s="5" t="s">
        <v>155</v>
      </c>
    </row>
    <row r="52" customFormat="false" ht="15" hidden="false" customHeight="false" outlineLevel="0" collapsed="false">
      <c r="A52" s="5" t="s">
        <v>109</v>
      </c>
      <c r="B52" s="5" t="s">
        <v>152</v>
      </c>
      <c r="C52" s="5" t="s">
        <v>156</v>
      </c>
      <c r="D52" s="5" t="s">
        <v>157</v>
      </c>
      <c r="E52" s="5" t="s">
        <v>16</v>
      </c>
      <c r="F52" s="5" t="n">
        <v>1</v>
      </c>
      <c r="G52" s="6" t="n">
        <v>21.28</v>
      </c>
      <c r="H52" s="6" t="n">
        <f aca="false">F52*G52</f>
        <v>21.28</v>
      </c>
      <c r="I52" s="7" t="s">
        <v>99</v>
      </c>
      <c r="J52" s="5" t="s">
        <v>158</v>
      </c>
    </row>
    <row r="53" customFormat="false" ht="23.85" hidden="false" customHeight="false" outlineLevel="0" collapsed="false">
      <c r="A53" s="5" t="s">
        <v>109</v>
      </c>
      <c r="B53" s="5" t="s">
        <v>152</v>
      </c>
      <c r="C53" s="5" t="s">
        <v>159</v>
      </c>
      <c r="D53" s="5" t="s">
        <v>160</v>
      </c>
      <c r="E53" s="5" t="s">
        <v>161</v>
      </c>
      <c r="F53" s="5" t="n">
        <v>1</v>
      </c>
      <c r="G53" s="8" t="n">
        <v>234</v>
      </c>
      <c r="H53" s="6" t="n">
        <f aca="false">F53*G53</f>
        <v>234</v>
      </c>
      <c r="I53" s="7" t="s">
        <v>162</v>
      </c>
      <c r="J53" s="5" t="s">
        <v>163</v>
      </c>
    </row>
    <row r="54" customFormat="false" ht="15" hidden="false" customHeight="false" outlineLevel="0" collapsed="false">
      <c r="A54" s="9"/>
      <c r="B54" s="9"/>
      <c r="C54" s="10" t="s">
        <v>164</v>
      </c>
      <c r="D54" s="9"/>
      <c r="E54" s="9"/>
      <c r="F54" s="9"/>
      <c r="G54" s="9"/>
      <c r="H54" s="11" t="n">
        <f aca="false">SUM(H36:H53)</f>
        <v>1999.49</v>
      </c>
      <c r="I54" s="9"/>
      <c r="J54" s="9"/>
    </row>
    <row r="55" customFormat="false" ht="15" hidden="false" customHeight="false" outlineLevel="0" collapsed="false">
      <c r="A55" s="12"/>
      <c r="B55" s="12"/>
      <c r="C55" s="13" t="s">
        <v>165</v>
      </c>
      <c r="D55" s="12"/>
      <c r="E55" s="12"/>
      <c r="F55" s="12"/>
      <c r="G55" s="12"/>
      <c r="H55" s="14" t="n">
        <f aca="false">H33+H54</f>
        <v>4995.24</v>
      </c>
      <c r="I55" s="12"/>
      <c r="J55" s="12"/>
    </row>
    <row r="56" customFormat="false" ht="15" hidden="false" customHeight="false" outlineLevel="0" collapsed="false">
      <c r="C56" s="15" t="s">
        <v>166</v>
      </c>
      <c r="H56" s="16" t="n">
        <f aca="false">H55*1.21</f>
        <v>6044.2404</v>
      </c>
      <c r="I56" s="15" t="s">
        <v>167</v>
      </c>
    </row>
    <row r="58" customFormat="false" ht="15" hidden="false" customHeight="false" outlineLevel="0" collapsed="false">
      <c r="A58" s="17" t="s">
        <v>168</v>
      </c>
    </row>
    <row r="59" customFormat="false" ht="15" hidden="false" customHeight="false" outlineLevel="0" collapsed="false">
      <c r="C59" s="18" t="s">
        <v>169</v>
      </c>
      <c r="H59" s="19" t="n">
        <f aca="false">3000-H33</f>
        <v>4.24999999999955</v>
      </c>
    </row>
    <row r="60" customFormat="false" ht="15" hidden="false" customHeight="false" outlineLevel="0" collapsed="false">
      <c r="C60" s="18" t="s">
        <v>170</v>
      </c>
      <c r="H60" s="19" t="n">
        <f aca="false">2000-H54</f>
        <v>0.509999999999991</v>
      </c>
    </row>
    <row r="61" customFormat="false" ht="15" hidden="false" customHeight="false" outlineLevel="0" collapsed="false">
      <c r="C61" s="18" t="s">
        <v>171</v>
      </c>
      <c r="H61" s="19" t="n">
        <f aca="false">5000-H55</f>
        <v>4.75999999999931</v>
      </c>
    </row>
  </sheetData>
  <mergeCells count="13">
    <mergeCell ref="A1:J1"/>
    <mergeCell ref="A2:J2"/>
    <mergeCell ref="A5:J5"/>
    <mergeCell ref="A11:J11"/>
    <mergeCell ref="A16:J16"/>
    <mergeCell ref="A18:J18"/>
    <mergeCell ref="A24:J24"/>
    <mergeCell ref="A28:J28"/>
    <mergeCell ref="A35:J35"/>
    <mergeCell ref="A38:J38"/>
    <mergeCell ref="A43:J43"/>
    <mergeCell ref="A48:J48"/>
    <mergeCell ref="A50:J50"/>
  </mergeCells>
  <hyperlinks>
    <hyperlink ref="I6" r:id="rId1" display="https://www.thorlabs.com/thorproduct.cfm?partnumber=PDA100A2"/>
    <hyperlink ref="I7" r:id="rId2" display="https://www.thorlabs.com/thorproduct.cfm?partnumber=ACL25416U-B"/>
    <hyperlink ref="I8" r:id="rId3" display="https://www.thorlabs.com/thorproduct.cfm?partnumber=SM1L10"/>
    <hyperlink ref="I9" r:id="rId4" display="https://www.thorlabs.com/thorproduct.cfm?partnumber=LMR1/M"/>
    <hyperlink ref="I10" r:id="rId5" display="https://www.thorlabs.com/thorproduct.cfm?partnumber=FELH0650"/>
    <hyperlink ref="I12" r:id="rId6" display="https://www.thorlabs.com/thorproduct.cfm?partnumber=TB4"/>
    <hyperlink ref="I13" r:id="rId7" display="https://www.thorlabs.com/thorproduct.cfm?partnumber=BK5"/>
    <hyperlink ref="I14" r:id="rId8" display="https://www.thorlabs.com/thorproduct.cfm?partnumber=BKF12"/>
    <hyperlink ref="I15" r:id="rId9" display="https://www.thorlabs.com/thorproduct.cfm?partnumber=BT610/M"/>
    <hyperlink ref="I17" r:id="rId10" display="https://www.thorlabs.com/thorproduct.cfm?partnumber=PAF2-A7A"/>
    <hyperlink ref="I19" r:id="rId11" display="https://www.digikey.es/es/products/detail/mini-circuits/BW-S30W20/16682977"/>
    <hyperlink ref="I20" r:id="rId12" display="https://www.digikey.es/es/products/detail/mini-circuits/ZX47-40-S/21727781"/>
    <hyperlink ref="I21" r:id="rId13" display="https://www.digikey.es/es/products/result?keywords=ZASWA-2-50DRA%2B"/>
    <hyperlink ref="I22" r:id="rId14" display="https://www.mouser.es/c/?q=ultra%20flexible%20sma%20cable"/>
    <hyperlink ref="I23" r:id="rId15" display="https://www.mouser.es/c/connectors/rf-coaxial-connectors/"/>
    <hyperlink ref="I25" r:id="rId16" display="https://www.thorlabs.com/thorproduct.cfm?partnumber=TSP01"/>
    <hyperlink ref="I26" r:id="rId17" display="https://www.thorlabs.com/thorproduct.cfm?partnumber=HT10K"/>
    <hyperlink ref="I27" r:id="rId18" display="https://www.thorlabs.com/thorproduct.cfm?partnumber=TH10K"/>
    <hyperlink ref="I29" r:id="rId19" display="https://www.thorlabs.com/thorproduct.cfm?partnumber=MC-5"/>
    <hyperlink ref="I30" r:id="rId20" display="https://www.thorlabs.com/thorproduct.cfm?partnumber=CTA10"/>
    <hyperlink ref="I31" r:id="rId21" display="https://www.amazon.es/s?k=isopropanol+99.9+reagent+grade"/>
    <hyperlink ref="I32" r:id="rId22" display="https://www.amazon.es/s?k=agua+desionizada"/>
    <hyperlink ref="I36" r:id="rId23" display="https://www.thorlabs.com/thorproduct.cfm?partnumber=PDA100A2"/>
    <hyperlink ref="I37" r:id="rId24" display="https://www.thorlabs.com/thorproduct.cfm?partnumber=BSF10-A"/>
    <hyperlink ref="I39" r:id="rId25" display="https://www.thorlabs.com/thorproduct.cfm?partnumber=LPVISE100-A"/>
    <hyperlink ref="I40" r:id="rId26" display="https://www.thorlabs.com/thorproduct.cfm?partnumber=RSP1/M"/>
    <hyperlink ref="I41" r:id="rId27" display="https://www.thorlabs.com/thorproduct.cfm?partnumber=NE10A"/>
    <hyperlink ref="I42" r:id="rId28" display="https://www.thorlabs.com/thorproduct.cfm?partnumber=NE20A"/>
    <hyperlink ref="I44" r:id="rId29" display="https://www.thorlabs.com/thorproduct.cfm?partnumber=P3-488PM-FC-2"/>
    <hyperlink ref="I45" r:id="rId30" display="https://www.thorlabs.com/thorproduct.cfm?partnumber=B4CRP/M"/>
    <hyperlink ref="I46" r:id="rId31" display="https://www.thorlabs.com/thorproduct.cfm?partnumber=SM1L10"/>
    <hyperlink ref="I47" r:id="rId32" display="https://www.thorlabs.com/thorproduct.cfm?partnumber=ACL25416U-B"/>
    <hyperlink ref="I49" r:id="rId33" display="https://es.rs-online.com/web/c/cables-hilos/hilo-electrico/hilo-de-cobre-esmaltado/"/>
    <hyperlink ref="I51" r:id="rId34" display="https://www.amazon.es/s?k=purificador+de+aire+HEPA"/>
    <hyperlink ref="I52" r:id="rId35" display="https://www.thorlabs.com/thorproduct.cfm?partnumber=CTA10"/>
    <hyperlink ref="I53" r:id="rId36" display="https://www.thorlabs.com/navigation.cfm?guide_id=5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22"/>
    <col collapsed="false" customWidth="true" hidden="false" outlineLevel="0" max="3" min="3" style="0" width="92"/>
  </cols>
  <sheetData>
    <row r="1" customFormat="false" ht="17.35" hidden="false" customHeight="false" outlineLevel="0" collapsed="false">
      <c r="A1" s="1" t="s">
        <v>172</v>
      </c>
      <c r="B1" s="1"/>
      <c r="C1" s="1"/>
    </row>
    <row r="3" customFormat="false" ht="15" hidden="false" customHeight="false" outlineLevel="0" collapsed="false">
      <c r="A3" s="3" t="s">
        <v>4</v>
      </c>
      <c r="B3" s="3" t="s">
        <v>173</v>
      </c>
      <c r="C3" s="3" t="s">
        <v>174</v>
      </c>
    </row>
    <row r="4" customFormat="false" ht="23.85" hidden="false" customHeight="false" outlineLevel="0" collapsed="false">
      <c r="A4" s="5" t="s">
        <v>175</v>
      </c>
      <c r="B4" s="5" t="s">
        <v>176</v>
      </c>
      <c r="C4" s="5" t="s">
        <v>177</v>
      </c>
    </row>
    <row r="5" customFormat="false" ht="23.85" hidden="false" customHeight="false" outlineLevel="0" collapsed="false">
      <c r="A5" s="5" t="s">
        <v>178</v>
      </c>
      <c r="B5" s="5" t="s">
        <v>179</v>
      </c>
      <c r="C5" s="5" t="s">
        <v>180</v>
      </c>
    </row>
    <row r="6" customFormat="false" ht="15" hidden="false" customHeight="false" outlineLevel="0" collapsed="false">
      <c r="A6" s="5" t="s">
        <v>181</v>
      </c>
      <c r="B6" s="5" t="s">
        <v>182</v>
      </c>
      <c r="C6" s="5" t="s">
        <v>183</v>
      </c>
    </row>
    <row r="7" customFormat="false" ht="23.85" hidden="false" customHeight="false" outlineLevel="0" collapsed="false">
      <c r="A7" s="5" t="s">
        <v>184</v>
      </c>
      <c r="B7" s="5" t="s">
        <v>185</v>
      </c>
      <c r="C7" s="5" t="s">
        <v>186</v>
      </c>
    </row>
    <row r="8" customFormat="false" ht="23.85" hidden="false" customHeight="false" outlineLevel="0" collapsed="false">
      <c r="A8" s="5" t="s">
        <v>187</v>
      </c>
      <c r="B8" s="5" t="s">
        <v>188</v>
      </c>
      <c r="C8" s="5" t="s">
        <v>189</v>
      </c>
    </row>
    <row r="9" customFormat="false" ht="35.05" hidden="false" customHeight="false" outlineLevel="0" collapsed="false">
      <c r="A9" s="5" t="s">
        <v>190</v>
      </c>
      <c r="B9" s="5" t="s">
        <v>191</v>
      </c>
      <c r="C9" s="5" t="s">
        <v>192</v>
      </c>
    </row>
    <row r="10" customFormat="false" ht="23.85" hidden="false" customHeight="false" outlineLevel="0" collapsed="false">
      <c r="A10" s="5" t="s">
        <v>193</v>
      </c>
      <c r="B10" s="5" t="s">
        <v>194</v>
      </c>
      <c r="C10" s="5" t="s">
        <v>195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2026-09-10T12:56:08Z</dcterms:created>
  <dc:creator>openpyxl</dc:creator>
  <dc:description/>
  <dc:language>en-US</dc:language>
  <cp:lastModifiedBy/>
  <dcterms:modified xsi:type="dcterms:W3CDTF">2026-09-10T12:56:08Z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